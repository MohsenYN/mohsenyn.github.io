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files for saving\beans 2025\"/>
    </mc:Choice>
  </mc:AlternateContent>
  <xr:revisionPtr revIDLastSave="0" documentId="13_ncr:1_{14D57DE7-7F23-4B96-8378-2922FB96546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5" i="1" l="1"/>
  <c r="J66" i="1"/>
  <c r="J67" i="1"/>
  <c r="J59" i="1"/>
  <c r="J60" i="1"/>
  <c r="J61" i="1"/>
  <c r="J62" i="1"/>
  <c r="J63" i="1"/>
  <c r="J45" i="1"/>
  <c r="J46" i="1"/>
  <c r="J47" i="1"/>
  <c r="J48" i="1"/>
  <c r="J49" i="1"/>
  <c r="J50" i="1"/>
  <c r="J14" i="1"/>
  <c r="J68" i="1"/>
  <c r="J69" i="1"/>
  <c r="J70" i="1"/>
  <c r="J71" i="1"/>
  <c r="J72" i="1"/>
  <c r="J73" i="1"/>
  <c r="J74" i="1"/>
  <c r="J64" i="1"/>
</calcChain>
</file>

<file path=xl/sharedStrings.xml><?xml version="1.0" encoding="utf-8"?>
<sst xmlns="http://schemas.openxmlformats.org/spreadsheetml/2006/main" count="580" uniqueCount="109">
  <si>
    <t>Name</t>
  </si>
  <si>
    <t>Market Class</t>
  </si>
  <si>
    <t>Year</t>
  </si>
  <si>
    <t>Common Mosaic Virus R1</t>
  </si>
  <si>
    <t>Common Mosaic Virus R15</t>
  </si>
  <si>
    <t>Anthracnose R17</t>
  </si>
  <si>
    <t>Anthracnose R23</t>
  </si>
  <si>
    <t>Anthracnose R73</t>
  </si>
  <si>
    <t>Common Blight</t>
  </si>
  <si>
    <t>Yield (lbs/acre)</t>
  </si>
  <si>
    <t>Maturity (days)</t>
  </si>
  <si>
    <t>Direct Harvest Suitability</t>
  </si>
  <si>
    <t>OAC Thunder</t>
  </si>
  <si>
    <t>White Navy</t>
  </si>
  <si>
    <t>R</t>
  </si>
  <si>
    <t>S</t>
  </si>
  <si>
    <t>OAC Gryphon</t>
  </si>
  <si>
    <t>N/A</t>
  </si>
  <si>
    <t>OAC Silvercreek</t>
  </si>
  <si>
    <t>OAC Rex</t>
  </si>
  <si>
    <t>Lightning</t>
  </si>
  <si>
    <t>OAC Dublin</t>
  </si>
  <si>
    <t>Bolt</t>
  </si>
  <si>
    <t>Mist</t>
  </si>
  <si>
    <t>Fathom</t>
  </si>
  <si>
    <t>OAC Plasma</t>
  </si>
  <si>
    <t>Rogue</t>
  </si>
  <si>
    <t>OAC Award</t>
  </si>
  <si>
    <t>100 Sd Weight (g)</t>
  </si>
  <si>
    <t>OAC Charm</t>
  </si>
  <si>
    <t>OAC Equinox</t>
  </si>
  <si>
    <t>OAC Fusion</t>
  </si>
  <si>
    <t>OAC Marker</t>
  </si>
  <si>
    <t>OAC Seal</t>
  </si>
  <si>
    <t>Blast</t>
  </si>
  <si>
    <t>OAC Bechamel</t>
  </si>
  <si>
    <t>OAC Resilient</t>
  </si>
  <si>
    <t>Steam</t>
  </si>
  <si>
    <t>OAC Vortex</t>
  </si>
  <si>
    <t>Black</t>
  </si>
  <si>
    <t>OAC Rosito</t>
  </si>
  <si>
    <t>Small Red</t>
  </si>
  <si>
    <t>Bannock</t>
  </si>
  <si>
    <t>Umbra</t>
  </si>
  <si>
    <t>OAC Redstar</t>
  </si>
  <si>
    <t>Dark Red Kidney</t>
  </si>
  <si>
    <t>--</t>
  </si>
  <si>
    <t>OAC Lyrik</t>
  </si>
  <si>
    <t>Light Red Kidney</t>
  </si>
  <si>
    <t>OAC Inferno</t>
  </si>
  <si>
    <t>Dynasty</t>
  </si>
  <si>
    <t>Yeti</t>
  </si>
  <si>
    <t>White Kidney</t>
  </si>
  <si>
    <t>OAC Candycane</t>
  </si>
  <si>
    <t>Cranberry</t>
  </si>
  <si>
    <t>OAC Racer</t>
  </si>
  <si>
    <t>OAC Jewel</t>
  </si>
  <si>
    <t>OAC Firestripe</t>
  </si>
  <si>
    <t>OAC Navabi</t>
  </si>
  <si>
    <t>Gallantry</t>
  </si>
  <si>
    <t>OAC Jasper</t>
  </si>
  <si>
    <t>OAC Snowshoe</t>
  </si>
  <si>
    <t>OAC Firebrand</t>
  </si>
  <si>
    <t>OAC Iceberg</t>
  </si>
  <si>
    <t>OAC Agate</t>
  </si>
  <si>
    <t>OAC Volterra</t>
  </si>
  <si>
    <t>Ex Rico 23</t>
  </si>
  <si>
    <t>OAC Rico</t>
  </si>
  <si>
    <t>OAC Seaforth</t>
  </si>
  <si>
    <t>OAC Clever</t>
  </si>
  <si>
    <t>OAC Storm</t>
  </si>
  <si>
    <t>OAC Spades</t>
  </si>
  <si>
    <t>OAC Rev</t>
  </si>
  <si>
    <t>OAC Tong</t>
  </si>
  <si>
    <t>Eternal</t>
  </si>
  <si>
    <t>Non-darkening Pinto</t>
  </si>
  <si>
    <t>OAC Endeavour</t>
  </si>
  <si>
    <r>
      <t>OAC M</t>
    </r>
    <r>
      <rPr>
        <sz val="9.6"/>
        <color rgb="FF353740"/>
        <rFont val="Calibri"/>
        <family val="2"/>
      </rPr>
      <t>ä</t>
    </r>
    <r>
      <rPr>
        <sz val="9.6"/>
        <color rgb="FF353740"/>
        <rFont val="Arial"/>
        <family val="2"/>
      </rPr>
      <t>rzen</t>
    </r>
  </si>
  <si>
    <t>OAC Toast</t>
  </si>
  <si>
    <t>Pinto</t>
  </si>
  <si>
    <t>OAC Souper</t>
  </si>
  <si>
    <t>Stavros</t>
  </si>
  <si>
    <t>OAC Sunrise</t>
  </si>
  <si>
    <t>OAC Blaze</t>
  </si>
  <si>
    <t>XPT One</t>
  </si>
  <si>
    <t>OAC Paint</t>
  </si>
  <si>
    <t>Kintoki</t>
  </si>
  <si>
    <t>OAC Tomahawk</t>
  </si>
  <si>
    <t>OAC Laser</t>
  </si>
  <si>
    <t>OAC Speedvale</t>
  </si>
  <si>
    <t>OAC Cygnus</t>
  </si>
  <si>
    <t>OAC Sprint</t>
  </si>
  <si>
    <t>Sundust</t>
  </si>
  <si>
    <t>Stardust</t>
  </si>
  <si>
    <t>OAC Glacier</t>
  </si>
  <si>
    <t>Yolk</t>
  </si>
  <si>
    <t>Yak</t>
  </si>
  <si>
    <t>Wake</t>
  </si>
  <si>
    <t>OAC Copperhead</t>
  </si>
  <si>
    <t>Otebo</t>
  </si>
  <si>
    <t>Yellow</t>
  </si>
  <si>
    <t>Yield (kg/ha)</t>
  </si>
  <si>
    <t>OPCC data year</t>
  </si>
  <si>
    <t>MR</t>
  </si>
  <si>
    <t>2021+2020</t>
  </si>
  <si>
    <t>MS</t>
  </si>
  <si>
    <t>2018+2019</t>
  </si>
  <si>
    <t>2018+2020</t>
  </si>
  <si>
    <t>1996-2004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</si>
</sst>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.6"/>
      <color rgb="FF353740"/>
      <name val="Arial"/>
      <family val="2"/>
    </font>
    <font>
      <sz val="9.6"/>
      <color rgb="FF353740"/>
      <name val="Arial"/>
      <family val="2"/>
    </font>
    <font>
      <sz val="9.6"/>
      <color rgb="FF353740"/>
      <name val="Calibri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2" fontId="1" fillId="2" borderId="0" xfId="0" applyNumberFormat="1" applyFont="1" applyFill="1" applyAlignment="1">
      <alignment horizontal="center" vertical="center" wrapText="1"/>
    </xf>
    <xf numFmtId="2" fontId="2" fillId="2" borderId="0" xfId="0" applyNumberFormat="1" applyFont="1" applyFill="1" applyAlignment="1">
      <alignment vertical="center" wrapText="1"/>
    </xf>
    <xf numFmtId="2" fontId="0" fillId="0" borderId="0" xfId="0" applyNumberFormat="1"/>
    <xf numFmtId="3" fontId="0" fillId="0" borderId="0" xfId="0" applyNumberFormat="1"/>
    <xf numFmtId="1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abSelected="1" zoomScaleNormal="100" workbookViewId="0">
      <pane ySplit="1" topLeftCell="A20" activePane="bottomLeft" state="frozen"/>
      <selection pane="bottomLeft" activeCell="E20" sqref="E20"/>
    </sheetView>
  </sheetViews>
  <sheetFormatPr defaultRowHeight="15" x14ac:dyDescent="0.25"/>
  <cols>
    <col min="1" max="1" width="20.85546875" customWidth="1"/>
    <col min="2" max="2" width="15.28515625" customWidth="1"/>
    <col min="10" max="10" width="14.140625" style="5" customWidth="1"/>
    <col min="11" max="11" width="16" style="5" customWidth="1"/>
    <col min="12" max="12" width="12.28515625" style="5" customWidth="1"/>
    <col min="13" max="13" width="18.140625" style="5" customWidth="1"/>
    <col min="14" max="14" width="10.140625" bestFit="1" customWidth="1"/>
  </cols>
  <sheetData>
    <row r="1" spans="1:15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28</v>
      </c>
      <c r="M1" s="3" t="s">
        <v>11</v>
      </c>
      <c r="N1" s="3" t="s">
        <v>102</v>
      </c>
      <c r="O1" s="3" t="s">
        <v>101</v>
      </c>
    </row>
    <row r="2" spans="1:15" x14ac:dyDescent="0.25">
      <c r="A2" s="2" t="s">
        <v>12</v>
      </c>
      <c r="B2" s="2" t="s">
        <v>13</v>
      </c>
      <c r="C2" s="2">
        <v>1977</v>
      </c>
      <c r="D2" s="2" t="s">
        <v>14</v>
      </c>
      <c r="E2" s="2" t="s">
        <v>14</v>
      </c>
      <c r="F2" s="2" t="s">
        <v>15</v>
      </c>
      <c r="G2" s="2" t="s">
        <v>15</v>
      </c>
      <c r="H2" s="2" t="s">
        <v>15</v>
      </c>
      <c r="I2" s="2" t="s">
        <v>15</v>
      </c>
      <c r="J2" s="4">
        <v>3015.5</v>
      </c>
      <c r="K2" s="4">
        <v>93.736842105263165</v>
      </c>
      <c r="L2" s="4">
        <v>22.721052631578946</v>
      </c>
      <c r="M2" s="4">
        <v>2.6470588235294112</v>
      </c>
    </row>
    <row r="3" spans="1:15" x14ac:dyDescent="0.25">
      <c r="A3" s="2" t="s">
        <v>66</v>
      </c>
      <c r="B3" s="2" t="s">
        <v>13</v>
      </c>
      <c r="C3" s="2">
        <v>1980</v>
      </c>
      <c r="D3" s="2" t="s">
        <v>14</v>
      </c>
      <c r="E3" s="2" t="s">
        <v>14</v>
      </c>
      <c r="F3" s="2" t="s">
        <v>14</v>
      </c>
      <c r="G3" s="2" t="s">
        <v>15</v>
      </c>
      <c r="H3" s="2" t="s">
        <v>17</v>
      </c>
      <c r="I3" s="2" t="s">
        <v>17</v>
      </c>
      <c r="J3" s="4">
        <v>2634</v>
      </c>
      <c r="K3" s="4">
        <v>99</v>
      </c>
      <c r="L3" s="4">
        <v>19.8</v>
      </c>
      <c r="M3" s="4" t="s">
        <v>46</v>
      </c>
    </row>
    <row r="4" spans="1:15" x14ac:dyDescent="0.25">
      <c r="A4" s="2" t="s">
        <v>68</v>
      </c>
      <c r="B4" s="2" t="s">
        <v>13</v>
      </c>
      <c r="C4" s="2">
        <v>1983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17</v>
      </c>
      <c r="I4" s="2" t="s">
        <v>17</v>
      </c>
      <c r="J4" s="4">
        <v>2027</v>
      </c>
      <c r="K4" s="4">
        <v>90</v>
      </c>
      <c r="L4" s="4">
        <v>20.100000000000001</v>
      </c>
      <c r="M4" s="4" t="s">
        <v>46</v>
      </c>
    </row>
    <row r="5" spans="1:15" x14ac:dyDescent="0.25">
      <c r="A5" s="2" t="s">
        <v>67</v>
      </c>
      <c r="B5" s="2" t="s">
        <v>13</v>
      </c>
      <c r="C5" s="2">
        <v>1983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17</v>
      </c>
      <c r="I5" s="2" t="s">
        <v>17</v>
      </c>
      <c r="J5" s="4">
        <v>2483</v>
      </c>
      <c r="K5" s="4">
        <v>100</v>
      </c>
      <c r="L5" s="4">
        <v>20.2</v>
      </c>
      <c r="M5" s="4" t="s">
        <v>46</v>
      </c>
    </row>
    <row r="6" spans="1:15" x14ac:dyDescent="0.25">
      <c r="A6" s="2" t="s">
        <v>16</v>
      </c>
      <c r="B6" s="2" t="s">
        <v>13</v>
      </c>
      <c r="C6" s="2">
        <v>1988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15</v>
      </c>
      <c r="I6" s="2" t="s">
        <v>17</v>
      </c>
      <c r="J6" s="4">
        <v>3254</v>
      </c>
      <c r="K6" s="4">
        <v>96</v>
      </c>
      <c r="L6" s="4">
        <v>20.399999999999999</v>
      </c>
      <c r="M6" s="4">
        <v>4</v>
      </c>
    </row>
    <row r="7" spans="1:15" x14ac:dyDescent="0.25">
      <c r="A7" s="2" t="s">
        <v>90</v>
      </c>
      <c r="B7" s="2" t="s">
        <v>13</v>
      </c>
      <c r="C7" s="2">
        <v>1988</v>
      </c>
    </row>
    <row r="8" spans="1:15" x14ac:dyDescent="0.25">
      <c r="A8" s="2" t="s">
        <v>91</v>
      </c>
      <c r="B8" s="2" t="s">
        <v>13</v>
      </c>
      <c r="C8" s="2">
        <v>1988</v>
      </c>
    </row>
    <row r="9" spans="1:15" x14ac:dyDescent="0.25">
      <c r="A9" s="2" t="s">
        <v>88</v>
      </c>
      <c r="B9" s="2" t="s">
        <v>13</v>
      </c>
      <c r="C9" s="2">
        <v>1991</v>
      </c>
    </row>
    <row r="10" spans="1:15" x14ac:dyDescent="0.25">
      <c r="A10" s="2" t="s">
        <v>89</v>
      </c>
      <c r="B10" s="2" t="s">
        <v>13</v>
      </c>
      <c r="C10" s="2">
        <v>1991</v>
      </c>
    </row>
    <row r="11" spans="1:15" x14ac:dyDescent="0.25">
      <c r="A11" s="2" t="s">
        <v>87</v>
      </c>
      <c r="B11" s="2" t="s">
        <v>79</v>
      </c>
      <c r="C11" s="2">
        <v>1993</v>
      </c>
    </row>
    <row r="12" spans="1:15" x14ac:dyDescent="0.25">
      <c r="A12" s="2" t="s">
        <v>18</v>
      </c>
      <c r="B12" s="2" t="s">
        <v>13</v>
      </c>
      <c r="C12" s="2">
        <v>1998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15</v>
      </c>
      <c r="I12" s="2" t="s">
        <v>17</v>
      </c>
      <c r="J12" s="4">
        <v>3172.5</v>
      </c>
      <c r="K12" s="4">
        <v>95</v>
      </c>
      <c r="L12" s="4">
        <v>21.425000000000001</v>
      </c>
      <c r="M12" s="4">
        <v>3.75</v>
      </c>
    </row>
    <row r="13" spans="1:15" x14ac:dyDescent="0.25">
      <c r="A13" s="2" t="s">
        <v>19</v>
      </c>
      <c r="B13" s="2" t="s">
        <v>13</v>
      </c>
      <c r="C13" s="2">
        <v>2002</v>
      </c>
      <c r="D13" s="2" t="s">
        <v>14</v>
      </c>
      <c r="E13" s="2" t="s">
        <v>14</v>
      </c>
      <c r="F13" s="2" t="s">
        <v>15</v>
      </c>
      <c r="G13" s="2" t="s">
        <v>15</v>
      </c>
      <c r="H13" s="2" t="s">
        <v>15</v>
      </c>
      <c r="I13" s="2" t="s">
        <v>14</v>
      </c>
      <c r="J13" s="4">
        <v>3191</v>
      </c>
      <c r="K13" s="4">
        <v>98.333333333333329</v>
      </c>
      <c r="L13" s="4">
        <v>21.536363636363635</v>
      </c>
      <c r="M13" s="4">
        <v>2.677777777777778</v>
      </c>
    </row>
    <row r="14" spans="1:15" x14ac:dyDescent="0.25">
      <c r="A14" s="2" t="s">
        <v>19</v>
      </c>
      <c r="B14" s="2" t="s">
        <v>13</v>
      </c>
      <c r="C14" s="2">
        <v>2002</v>
      </c>
      <c r="D14" s="2" t="s">
        <v>14</v>
      </c>
      <c r="E14" s="2" t="s">
        <v>14</v>
      </c>
      <c r="F14" s="2" t="s">
        <v>15</v>
      </c>
      <c r="G14" s="2" t="s">
        <v>15</v>
      </c>
      <c r="H14" s="2" t="s">
        <v>15</v>
      </c>
      <c r="I14" s="2" t="s">
        <v>14</v>
      </c>
      <c r="J14" s="5">
        <f>O14*0.892179</f>
        <v>2712.2241600000002</v>
      </c>
      <c r="K14" s="5">
        <v>97</v>
      </c>
      <c r="L14" s="5">
        <v>21</v>
      </c>
      <c r="N14" t="s">
        <v>108</v>
      </c>
      <c r="O14">
        <v>3040</v>
      </c>
    </row>
    <row r="15" spans="1:15" x14ac:dyDescent="0.25">
      <c r="A15" s="2" t="s">
        <v>44</v>
      </c>
      <c r="B15" s="2" t="s">
        <v>45</v>
      </c>
      <c r="C15" s="2">
        <v>2008</v>
      </c>
      <c r="D15" s="2" t="s">
        <v>14</v>
      </c>
      <c r="E15" s="2" t="s">
        <v>14</v>
      </c>
      <c r="F15" s="2" t="s">
        <v>14</v>
      </c>
      <c r="G15" s="2" t="s">
        <v>15</v>
      </c>
      <c r="H15" s="2" t="s">
        <v>17</v>
      </c>
      <c r="I15" s="2" t="s">
        <v>17</v>
      </c>
      <c r="J15" s="4">
        <v>2398</v>
      </c>
      <c r="K15" s="4">
        <v>97</v>
      </c>
      <c r="L15" s="4">
        <v>59.25</v>
      </c>
      <c r="M15" s="4" t="s">
        <v>46</v>
      </c>
    </row>
    <row r="16" spans="1:15" x14ac:dyDescent="0.25">
      <c r="A16" s="2" t="s">
        <v>47</v>
      </c>
      <c r="B16" s="2" t="s">
        <v>48</v>
      </c>
      <c r="C16" s="2">
        <v>2008</v>
      </c>
      <c r="D16" s="2" t="s">
        <v>14</v>
      </c>
      <c r="E16" s="2" t="s">
        <v>14</v>
      </c>
      <c r="F16" s="2" t="s">
        <v>14</v>
      </c>
      <c r="G16" s="2" t="s">
        <v>15</v>
      </c>
      <c r="H16" s="2" t="s">
        <v>17</v>
      </c>
      <c r="I16" s="2" t="s">
        <v>17</v>
      </c>
      <c r="J16" s="4">
        <v>2304.1666666666665</v>
      </c>
      <c r="K16" s="4">
        <v>89.571428571428569</v>
      </c>
      <c r="L16" s="4">
        <v>66.833333333333329</v>
      </c>
      <c r="M16" s="4" t="s">
        <v>46</v>
      </c>
    </row>
    <row r="17" spans="1:13" x14ac:dyDescent="0.25">
      <c r="A17" s="2" t="s">
        <v>20</v>
      </c>
      <c r="B17" s="2" t="s">
        <v>13</v>
      </c>
      <c r="C17" s="2">
        <v>2008</v>
      </c>
      <c r="D17" s="2" t="s">
        <v>14</v>
      </c>
      <c r="E17" s="2" t="s">
        <v>14</v>
      </c>
      <c r="F17" s="2" t="s">
        <v>15</v>
      </c>
      <c r="G17" s="2" t="s">
        <v>15</v>
      </c>
      <c r="H17" s="2" t="s">
        <v>15</v>
      </c>
      <c r="I17" s="2" t="s">
        <v>15</v>
      </c>
      <c r="J17" s="4">
        <v>2844.8571428571427</v>
      </c>
      <c r="K17" s="4">
        <v>93.857142857142861</v>
      </c>
      <c r="L17" s="4">
        <v>21.950000000000003</v>
      </c>
      <c r="M17" s="4">
        <v>2.15</v>
      </c>
    </row>
    <row r="18" spans="1:13" x14ac:dyDescent="0.25">
      <c r="A18" s="2" t="s">
        <v>21</v>
      </c>
      <c r="B18" s="2" t="s">
        <v>13</v>
      </c>
      <c r="C18" s="2">
        <v>2009</v>
      </c>
      <c r="D18" s="2" t="s">
        <v>14</v>
      </c>
      <c r="E18" s="2" t="s">
        <v>15</v>
      </c>
      <c r="F18" s="2" t="s">
        <v>15</v>
      </c>
      <c r="G18" s="2" t="s">
        <v>15</v>
      </c>
      <c r="H18" s="2" t="s">
        <v>15</v>
      </c>
      <c r="I18" s="2" t="s">
        <v>15</v>
      </c>
      <c r="J18" s="4">
        <v>2965</v>
      </c>
      <c r="K18" s="4">
        <v>96.75</v>
      </c>
      <c r="L18" s="4">
        <v>21.299999999999997</v>
      </c>
      <c r="M18" s="4">
        <v>3.1166666666666667</v>
      </c>
    </row>
    <row r="19" spans="1:13" x14ac:dyDescent="0.25">
      <c r="A19" s="2" t="s">
        <v>49</v>
      </c>
      <c r="B19" s="2" t="s">
        <v>48</v>
      </c>
      <c r="C19" s="2">
        <v>2011</v>
      </c>
      <c r="D19" s="2" t="s">
        <v>14</v>
      </c>
      <c r="E19" s="2" t="s">
        <v>15</v>
      </c>
      <c r="F19" s="2" t="s">
        <v>14</v>
      </c>
      <c r="G19" s="2" t="s">
        <v>15</v>
      </c>
      <c r="H19" s="2" t="s">
        <v>14</v>
      </c>
      <c r="I19" s="2" t="s">
        <v>17</v>
      </c>
      <c r="J19" s="4">
        <v>2549.6666666666665</v>
      </c>
      <c r="K19" s="4">
        <v>99.833333333333329</v>
      </c>
      <c r="L19" s="4">
        <v>65</v>
      </c>
      <c r="M19" s="4">
        <v>3.3600000000000003</v>
      </c>
    </row>
    <row r="20" spans="1:13" x14ac:dyDescent="0.25">
      <c r="A20" s="2" t="s">
        <v>50</v>
      </c>
      <c r="B20" s="2" t="s">
        <v>45</v>
      </c>
      <c r="C20" s="2">
        <v>2012</v>
      </c>
      <c r="D20" s="2" t="s">
        <v>14</v>
      </c>
      <c r="E20" s="2" t="s">
        <v>15</v>
      </c>
      <c r="F20" s="2" t="s">
        <v>14</v>
      </c>
      <c r="G20" s="2" t="s">
        <v>15</v>
      </c>
      <c r="H20" s="2" t="s">
        <v>14</v>
      </c>
      <c r="I20" s="2" t="s">
        <v>17</v>
      </c>
      <c r="J20" s="4">
        <v>2398.6363636363635</v>
      </c>
      <c r="K20" s="4">
        <v>94.25</v>
      </c>
      <c r="L20" s="4">
        <v>64.63636363636364</v>
      </c>
      <c r="M20" s="4">
        <v>2.9</v>
      </c>
    </row>
    <row r="21" spans="1:13" x14ac:dyDescent="0.25">
      <c r="A21" s="2" t="s">
        <v>51</v>
      </c>
      <c r="B21" s="2" t="s">
        <v>52</v>
      </c>
      <c r="C21" s="2">
        <v>2013</v>
      </c>
      <c r="D21" s="2" t="s">
        <v>14</v>
      </c>
      <c r="E21" s="2" t="s">
        <v>14</v>
      </c>
      <c r="F21" s="2" t="s">
        <v>17</v>
      </c>
      <c r="G21" s="2" t="s">
        <v>15</v>
      </c>
      <c r="H21" s="2" t="s">
        <v>14</v>
      </c>
      <c r="I21" s="2" t="s">
        <v>17</v>
      </c>
      <c r="J21" s="4">
        <v>2161.5</v>
      </c>
      <c r="K21" s="4">
        <v>95.5</v>
      </c>
      <c r="L21" s="4">
        <v>58.5</v>
      </c>
      <c r="M21" s="4">
        <v>2.7800000000000002</v>
      </c>
    </row>
    <row r="22" spans="1:13" x14ac:dyDescent="0.25">
      <c r="A22" s="2" t="s">
        <v>23</v>
      </c>
      <c r="B22" s="2" t="s">
        <v>13</v>
      </c>
      <c r="C22" s="2">
        <v>2013</v>
      </c>
      <c r="D22" s="2" t="s">
        <v>14</v>
      </c>
      <c r="E22" s="2" t="s">
        <v>14</v>
      </c>
      <c r="F22" s="2" t="s">
        <v>15</v>
      </c>
      <c r="G22" s="2" t="s">
        <v>15</v>
      </c>
      <c r="H22" s="2" t="s">
        <v>15</v>
      </c>
      <c r="I22" s="2" t="s">
        <v>14</v>
      </c>
      <c r="J22" s="4">
        <v>3162.7777777777778</v>
      </c>
      <c r="K22" s="4">
        <v>97.222222222222229</v>
      </c>
      <c r="L22" s="4">
        <v>23.2</v>
      </c>
      <c r="M22" s="4">
        <v>1.8571428571428574</v>
      </c>
    </row>
    <row r="23" spans="1:13" x14ac:dyDescent="0.25">
      <c r="A23" s="2" t="s">
        <v>22</v>
      </c>
      <c r="B23" s="2" t="s">
        <v>13</v>
      </c>
      <c r="C23" s="2">
        <v>2013</v>
      </c>
      <c r="D23" s="2" t="s">
        <v>14</v>
      </c>
      <c r="E23" s="2" t="s">
        <v>14</v>
      </c>
      <c r="F23" s="2" t="s">
        <v>15</v>
      </c>
      <c r="G23" s="2" t="s">
        <v>15</v>
      </c>
      <c r="H23" s="2" t="s">
        <v>14</v>
      </c>
      <c r="I23" s="2" t="s">
        <v>15</v>
      </c>
      <c r="J23" s="4">
        <v>2777</v>
      </c>
      <c r="K23" s="4">
        <v>91.7</v>
      </c>
      <c r="L23" s="4">
        <v>24.490000000000002</v>
      </c>
      <c r="M23" s="4">
        <v>1.6800000000000002</v>
      </c>
    </row>
    <row r="24" spans="1:13" x14ac:dyDescent="0.25">
      <c r="A24" s="2" t="s">
        <v>24</v>
      </c>
      <c r="B24" s="2" t="s">
        <v>13</v>
      </c>
      <c r="C24" s="2">
        <v>2014</v>
      </c>
      <c r="D24" s="2" t="s">
        <v>14</v>
      </c>
      <c r="E24" s="2" t="s">
        <v>14</v>
      </c>
      <c r="F24" s="2" t="s">
        <v>17</v>
      </c>
      <c r="G24" s="2" t="s">
        <v>17</v>
      </c>
      <c r="H24" s="2" t="s">
        <v>14</v>
      </c>
      <c r="I24" s="2" t="s">
        <v>14</v>
      </c>
      <c r="J24" s="4">
        <v>2762.2</v>
      </c>
      <c r="K24" s="4">
        <v>97.4</v>
      </c>
      <c r="L24" s="4">
        <v>23.324999999999999</v>
      </c>
      <c r="M24" s="4">
        <v>2.2749999999999999</v>
      </c>
    </row>
    <row r="25" spans="1:13" x14ac:dyDescent="0.25">
      <c r="A25" s="2" t="s">
        <v>40</v>
      </c>
      <c r="B25" s="2" t="s">
        <v>41</v>
      </c>
      <c r="C25" s="2">
        <v>2017</v>
      </c>
      <c r="D25" s="2" t="s">
        <v>14</v>
      </c>
      <c r="E25" s="2" t="s">
        <v>14</v>
      </c>
      <c r="F25" s="2" t="s">
        <v>17</v>
      </c>
      <c r="G25" s="2" t="s">
        <v>17</v>
      </c>
      <c r="H25" s="2" t="s">
        <v>15</v>
      </c>
      <c r="I25" s="2" t="s">
        <v>15</v>
      </c>
      <c r="J25" s="4">
        <v>3326.8333333333335</v>
      </c>
      <c r="K25" s="4">
        <v>96.166666666666671</v>
      </c>
      <c r="L25" s="4">
        <v>24.066666666666666</v>
      </c>
      <c r="M25" s="4">
        <v>1.9666666666666668</v>
      </c>
    </row>
    <row r="26" spans="1:13" x14ac:dyDescent="0.25">
      <c r="A26" s="2" t="s">
        <v>38</v>
      </c>
      <c r="B26" s="2" t="s">
        <v>39</v>
      </c>
      <c r="C26" s="2">
        <v>2019</v>
      </c>
      <c r="D26" s="2" t="s">
        <v>14</v>
      </c>
      <c r="E26" s="2" t="s">
        <v>14</v>
      </c>
      <c r="F26" s="2" t="s">
        <v>17</v>
      </c>
      <c r="G26" s="2" t="s">
        <v>17</v>
      </c>
      <c r="H26" s="2" t="s">
        <v>15</v>
      </c>
      <c r="I26" s="2" t="s">
        <v>14</v>
      </c>
      <c r="J26" s="4">
        <v>3669.2</v>
      </c>
      <c r="K26" s="4">
        <v>97</v>
      </c>
      <c r="L26" s="4">
        <v>23.86</v>
      </c>
      <c r="M26" s="4">
        <v>2.2799999999999998</v>
      </c>
    </row>
    <row r="27" spans="1:13" x14ac:dyDescent="0.25">
      <c r="A27" s="2" t="s">
        <v>55</v>
      </c>
      <c r="B27" s="2" t="s">
        <v>54</v>
      </c>
      <c r="C27" s="2">
        <v>2019</v>
      </c>
      <c r="D27" s="2" t="s">
        <v>14</v>
      </c>
      <c r="E27" s="2" t="s">
        <v>14</v>
      </c>
      <c r="F27" s="2" t="s">
        <v>17</v>
      </c>
      <c r="G27" s="2" t="s">
        <v>17</v>
      </c>
      <c r="H27" s="2" t="s">
        <v>17</v>
      </c>
      <c r="I27" s="2" t="s">
        <v>17</v>
      </c>
      <c r="J27" s="4">
        <v>2002.6666666666667</v>
      </c>
      <c r="K27" s="4">
        <v>85.666666666666671</v>
      </c>
      <c r="L27" s="4">
        <v>65</v>
      </c>
      <c r="M27" s="4">
        <v>2.8333333333333335</v>
      </c>
    </row>
    <row r="28" spans="1:13" x14ac:dyDescent="0.25">
      <c r="A28" s="2" t="s">
        <v>25</v>
      </c>
      <c r="B28" s="2" t="s">
        <v>13</v>
      </c>
      <c r="C28" s="2">
        <v>2019</v>
      </c>
      <c r="D28" s="2" t="s">
        <v>14</v>
      </c>
      <c r="E28" s="2" t="s">
        <v>14</v>
      </c>
      <c r="F28" s="2" t="s">
        <v>17</v>
      </c>
      <c r="G28" s="2" t="s">
        <v>17</v>
      </c>
      <c r="H28" s="2" t="s">
        <v>14</v>
      </c>
      <c r="I28" s="2" t="s">
        <v>14</v>
      </c>
      <c r="J28" s="4">
        <v>3541</v>
      </c>
      <c r="K28" s="4">
        <v>94</v>
      </c>
      <c r="L28" s="4">
        <v>22.333333333333332</v>
      </c>
      <c r="M28" s="4">
        <v>2.4</v>
      </c>
    </row>
    <row r="29" spans="1:13" x14ac:dyDescent="0.25">
      <c r="A29" s="2" t="s">
        <v>56</v>
      </c>
      <c r="B29" s="2" t="s">
        <v>48</v>
      </c>
      <c r="C29" s="2">
        <v>2019</v>
      </c>
      <c r="D29" s="2" t="s">
        <v>17</v>
      </c>
      <c r="E29" s="2" t="s">
        <v>17</v>
      </c>
      <c r="F29" s="2" t="s">
        <v>17</v>
      </c>
      <c r="G29" s="2" t="s">
        <v>17</v>
      </c>
      <c r="H29" s="2" t="s">
        <v>14</v>
      </c>
      <c r="I29" s="2" t="s">
        <v>17</v>
      </c>
      <c r="J29" s="4">
        <v>2161.6666666666665</v>
      </c>
      <c r="K29" s="4">
        <v>93.333333333333329</v>
      </c>
      <c r="L29" s="4">
        <v>64.333333333333329</v>
      </c>
      <c r="M29" s="4">
        <v>2.6</v>
      </c>
    </row>
    <row r="30" spans="1:13" x14ac:dyDescent="0.25">
      <c r="A30" s="2" t="s">
        <v>53</v>
      </c>
      <c r="B30" s="2" t="s">
        <v>54</v>
      </c>
      <c r="C30" s="2">
        <v>2019</v>
      </c>
      <c r="D30" s="2" t="s">
        <v>14</v>
      </c>
      <c r="E30" s="2" t="s">
        <v>14</v>
      </c>
      <c r="F30" s="2" t="s">
        <v>17</v>
      </c>
      <c r="G30" s="2" t="s">
        <v>17</v>
      </c>
      <c r="H30" s="2" t="s">
        <v>14</v>
      </c>
      <c r="I30" s="2" t="s">
        <v>17</v>
      </c>
      <c r="J30" s="4">
        <v>2348</v>
      </c>
      <c r="K30" s="4">
        <v>90.666666666666671</v>
      </c>
      <c r="L30" s="4">
        <v>67.333333333333329</v>
      </c>
      <c r="M30" s="4">
        <v>2.2666666666666666</v>
      </c>
    </row>
    <row r="31" spans="1:13" x14ac:dyDescent="0.25">
      <c r="A31" s="2" t="s">
        <v>26</v>
      </c>
      <c r="B31" s="2" t="s">
        <v>13</v>
      </c>
      <c r="C31" s="2">
        <v>2020</v>
      </c>
      <c r="D31" s="2" t="s">
        <v>14</v>
      </c>
      <c r="E31" s="2" t="s">
        <v>14</v>
      </c>
      <c r="F31" s="2" t="s">
        <v>17</v>
      </c>
      <c r="G31" s="2" t="s">
        <v>17</v>
      </c>
      <c r="H31" s="2" t="s">
        <v>14</v>
      </c>
      <c r="I31" s="2" t="s">
        <v>14</v>
      </c>
      <c r="J31" s="4">
        <v>3250.25</v>
      </c>
      <c r="K31" s="4">
        <v>97</v>
      </c>
      <c r="L31" s="4">
        <v>20.425000000000004</v>
      </c>
      <c r="M31" s="4">
        <v>3.2750000000000004</v>
      </c>
    </row>
    <row r="32" spans="1:13" x14ac:dyDescent="0.25">
      <c r="A32" s="2" t="s">
        <v>61</v>
      </c>
      <c r="B32" s="2" t="s">
        <v>52</v>
      </c>
      <c r="C32" s="2">
        <v>2020</v>
      </c>
      <c r="D32" s="2" t="s">
        <v>14</v>
      </c>
      <c r="E32" s="2" t="s">
        <v>14</v>
      </c>
      <c r="F32" s="2" t="s">
        <v>17</v>
      </c>
      <c r="G32" s="2" t="s">
        <v>17</v>
      </c>
      <c r="H32" s="2" t="s">
        <v>14</v>
      </c>
      <c r="I32" s="2" t="s">
        <v>17</v>
      </c>
      <c r="J32" s="4">
        <v>2357</v>
      </c>
      <c r="K32" s="4">
        <v>92</v>
      </c>
      <c r="L32" s="4">
        <v>62.666666666666664</v>
      </c>
      <c r="M32" s="4">
        <v>2.9</v>
      </c>
    </row>
    <row r="33" spans="1:15" x14ac:dyDescent="0.25">
      <c r="A33" s="2" t="s">
        <v>58</v>
      </c>
      <c r="B33" s="2" t="s">
        <v>54</v>
      </c>
      <c r="C33" s="2">
        <v>2020</v>
      </c>
      <c r="D33" s="2" t="s">
        <v>14</v>
      </c>
      <c r="E33" s="2" t="s">
        <v>14</v>
      </c>
      <c r="F33" s="2" t="s">
        <v>17</v>
      </c>
      <c r="G33" s="2" t="s">
        <v>17</v>
      </c>
      <c r="H33" s="2" t="s">
        <v>14</v>
      </c>
      <c r="I33" s="2" t="s">
        <v>17</v>
      </c>
      <c r="J33" s="4">
        <v>2225.6666666666665</v>
      </c>
      <c r="K33" s="4">
        <v>83.25</v>
      </c>
      <c r="L33" s="4">
        <v>61.25</v>
      </c>
      <c r="M33" s="4">
        <v>2.3250000000000002</v>
      </c>
    </row>
    <row r="34" spans="1:15" x14ac:dyDescent="0.25">
      <c r="A34" s="2" t="s">
        <v>60</v>
      </c>
      <c r="B34" s="2" t="s">
        <v>45</v>
      </c>
      <c r="C34" s="2">
        <v>2020</v>
      </c>
      <c r="D34" s="2" t="s">
        <v>14</v>
      </c>
      <c r="E34" s="2" t="s">
        <v>14</v>
      </c>
      <c r="F34" s="2" t="s">
        <v>17</v>
      </c>
      <c r="G34" s="2" t="s">
        <v>17</v>
      </c>
      <c r="H34" s="2" t="s">
        <v>14</v>
      </c>
      <c r="I34" s="2" t="s">
        <v>17</v>
      </c>
      <c r="J34" s="4">
        <v>1859.5</v>
      </c>
      <c r="K34" s="4">
        <v>90.5</v>
      </c>
      <c r="L34" s="4">
        <v>64</v>
      </c>
      <c r="M34" s="4">
        <v>2.7</v>
      </c>
    </row>
    <row r="35" spans="1:15" x14ac:dyDescent="0.25">
      <c r="A35" s="2" t="s">
        <v>57</v>
      </c>
      <c r="B35" s="2" t="s">
        <v>54</v>
      </c>
      <c r="C35" s="2">
        <v>2020</v>
      </c>
      <c r="D35" s="2" t="s">
        <v>14</v>
      </c>
      <c r="E35" s="2" t="s">
        <v>14</v>
      </c>
      <c r="F35" s="2" t="s">
        <v>17</v>
      </c>
      <c r="G35" s="2" t="s">
        <v>17</v>
      </c>
      <c r="H35" s="2" t="s">
        <v>14</v>
      </c>
      <c r="I35" s="2" t="s">
        <v>17</v>
      </c>
      <c r="J35" s="4">
        <v>2212.5</v>
      </c>
      <c r="K35" s="4">
        <v>89</v>
      </c>
      <c r="L35" s="4">
        <v>68.5</v>
      </c>
      <c r="M35" s="4">
        <v>2.2000000000000002</v>
      </c>
    </row>
    <row r="36" spans="1:15" x14ac:dyDescent="0.25">
      <c r="A36" s="2" t="s">
        <v>59</v>
      </c>
      <c r="B36" s="2" t="s">
        <v>45</v>
      </c>
      <c r="C36" s="2">
        <v>2020</v>
      </c>
      <c r="D36" s="2" t="s">
        <v>17</v>
      </c>
      <c r="E36" s="2" t="s">
        <v>17</v>
      </c>
      <c r="F36" s="2" t="s">
        <v>17</v>
      </c>
      <c r="G36" s="2" t="s">
        <v>17</v>
      </c>
      <c r="H36" s="2" t="s">
        <v>14</v>
      </c>
      <c r="I36" s="2" t="s">
        <v>17</v>
      </c>
      <c r="J36" s="4">
        <v>2303.25</v>
      </c>
      <c r="K36" s="4">
        <v>88.25</v>
      </c>
      <c r="L36" s="4">
        <v>58</v>
      </c>
      <c r="M36" s="4">
        <v>2.5249999999999999</v>
      </c>
    </row>
    <row r="37" spans="1:15" x14ac:dyDescent="0.25">
      <c r="A37" s="2" t="s">
        <v>32</v>
      </c>
      <c r="B37" s="2" t="s">
        <v>13</v>
      </c>
      <c r="C37" s="2">
        <v>2021</v>
      </c>
      <c r="D37" s="2" t="s">
        <v>17</v>
      </c>
      <c r="E37" s="2" t="s">
        <v>17</v>
      </c>
      <c r="F37" s="2" t="s">
        <v>17</v>
      </c>
      <c r="G37" s="2" t="s">
        <v>17</v>
      </c>
      <c r="H37" s="2" t="s">
        <v>17</v>
      </c>
      <c r="I37" s="2" t="s">
        <v>17</v>
      </c>
      <c r="J37" s="4">
        <v>3384</v>
      </c>
      <c r="K37" s="4">
        <v>93</v>
      </c>
      <c r="L37" s="4">
        <v>21.7</v>
      </c>
      <c r="M37" s="4">
        <v>2.2000000000000002</v>
      </c>
    </row>
    <row r="38" spans="1:15" x14ac:dyDescent="0.25">
      <c r="A38" s="2" t="s">
        <v>63</v>
      </c>
      <c r="B38" s="2" t="s">
        <v>52</v>
      </c>
      <c r="C38" s="2">
        <v>2021</v>
      </c>
      <c r="D38" s="2" t="s">
        <v>17</v>
      </c>
      <c r="E38" s="2" t="s">
        <v>17</v>
      </c>
      <c r="F38" s="2" t="s">
        <v>17</v>
      </c>
      <c r="G38" s="2" t="s">
        <v>17</v>
      </c>
      <c r="H38" s="2" t="s">
        <v>14</v>
      </c>
      <c r="I38" s="2" t="s">
        <v>17</v>
      </c>
      <c r="J38" s="4">
        <v>2160</v>
      </c>
      <c r="K38" s="4">
        <v>94</v>
      </c>
      <c r="L38" s="4">
        <v>56</v>
      </c>
      <c r="M38" s="4">
        <v>2.9</v>
      </c>
    </row>
    <row r="39" spans="1:15" x14ac:dyDescent="0.25">
      <c r="A39" s="2" t="s">
        <v>31</v>
      </c>
      <c r="B39" s="2" t="s">
        <v>13</v>
      </c>
      <c r="C39" s="2">
        <v>2021</v>
      </c>
      <c r="D39" s="2" t="s">
        <v>17</v>
      </c>
      <c r="E39" s="2" t="s">
        <v>17</v>
      </c>
      <c r="F39" s="2" t="s">
        <v>17</v>
      </c>
      <c r="G39" s="2" t="s">
        <v>17</v>
      </c>
      <c r="H39" s="2" t="s">
        <v>14</v>
      </c>
      <c r="I39" s="2" t="s">
        <v>15</v>
      </c>
      <c r="J39" s="4">
        <v>2962</v>
      </c>
      <c r="K39" s="4">
        <v>90</v>
      </c>
      <c r="L39" s="4">
        <v>20</v>
      </c>
      <c r="M39" s="4">
        <v>1.9</v>
      </c>
    </row>
    <row r="40" spans="1:15" x14ac:dyDescent="0.25">
      <c r="A40" s="2" t="s">
        <v>62</v>
      </c>
      <c r="B40" s="2" t="s">
        <v>48</v>
      </c>
      <c r="C40" s="2">
        <v>2021</v>
      </c>
      <c r="D40" s="2" t="s">
        <v>17</v>
      </c>
      <c r="E40" s="2" t="s">
        <v>17</v>
      </c>
      <c r="F40" s="2" t="s">
        <v>17</v>
      </c>
      <c r="G40" s="2" t="s">
        <v>17</v>
      </c>
      <c r="H40" s="2" t="s">
        <v>14</v>
      </c>
      <c r="I40" s="2" t="s">
        <v>17</v>
      </c>
      <c r="J40" s="4">
        <v>2518.3333333333335</v>
      </c>
      <c r="K40" s="4">
        <v>91</v>
      </c>
      <c r="L40" s="4">
        <v>55.333333333333336</v>
      </c>
      <c r="M40" s="4">
        <v>2.7999999999999994</v>
      </c>
    </row>
    <row r="41" spans="1:15" x14ac:dyDescent="0.25">
      <c r="A41" s="2" t="s">
        <v>30</v>
      </c>
      <c r="B41" s="2" t="s">
        <v>13</v>
      </c>
      <c r="C41" s="2">
        <v>2021</v>
      </c>
      <c r="D41" s="2" t="s">
        <v>17</v>
      </c>
      <c r="E41" s="2" t="s">
        <v>17</v>
      </c>
      <c r="F41" s="2" t="s">
        <v>17</v>
      </c>
      <c r="G41" s="2" t="s">
        <v>17</v>
      </c>
      <c r="H41" s="2" t="s">
        <v>15</v>
      </c>
      <c r="I41" s="2" t="s">
        <v>17</v>
      </c>
      <c r="J41" s="4">
        <v>3711</v>
      </c>
      <c r="K41" s="4">
        <v>97</v>
      </c>
      <c r="L41" s="4">
        <v>25.8</v>
      </c>
      <c r="M41" s="4">
        <v>1.8</v>
      </c>
    </row>
    <row r="42" spans="1:15" x14ac:dyDescent="0.25">
      <c r="A42" s="2" t="s">
        <v>29</v>
      </c>
      <c r="B42" s="2" t="s">
        <v>13</v>
      </c>
      <c r="C42" s="2">
        <v>2021</v>
      </c>
      <c r="D42" s="2" t="s">
        <v>17</v>
      </c>
      <c r="E42" s="2" t="s">
        <v>17</v>
      </c>
      <c r="F42" s="2" t="s">
        <v>17</v>
      </c>
      <c r="G42" s="2" t="s">
        <v>17</v>
      </c>
      <c r="H42" s="2" t="s">
        <v>14</v>
      </c>
      <c r="I42" s="2" t="s">
        <v>14</v>
      </c>
      <c r="J42" s="4">
        <v>3271</v>
      </c>
      <c r="K42" s="4">
        <v>93.666666666666671</v>
      </c>
      <c r="L42" s="4">
        <v>23</v>
      </c>
      <c r="M42" s="4">
        <v>2.0499999999999998</v>
      </c>
    </row>
    <row r="43" spans="1:15" x14ac:dyDescent="0.25">
      <c r="A43" s="2" t="s">
        <v>27</v>
      </c>
      <c r="B43" s="2" t="s">
        <v>13</v>
      </c>
      <c r="C43" s="2">
        <v>2021</v>
      </c>
      <c r="D43" s="2" t="s">
        <v>17</v>
      </c>
      <c r="E43" s="2" t="s">
        <v>17</v>
      </c>
      <c r="F43" s="2" t="s">
        <v>17</v>
      </c>
      <c r="G43" s="2" t="s">
        <v>17</v>
      </c>
      <c r="H43" s="2" t="s">
        <v>15</v>
      </c>
      <c r="I43" s="2" t="s">
        <v>17</v>
      </c>
      <c r="J43" s="4">
        <v>3703</v>
      </c>
      <c r="K43" s="4">
        <v>97</v>
      </c>
      <c r="L43" s="4">
        <v>23.1</v>
      </c>
      <c r="M43" s="4">
        <v>2.4</v>
      </c>
    </row>
    <row r="44" spans="1:15" x14ac:dyDescent="0.25">
      <c r="A44" s="2" t="s">
        <v>33</v>
      </c>
      <c r="B44" s="2" t="s">
        <v>13</v>
      </c>
      <c r="C44" s="2">
        <v>2022</v>
      </c>
      <c r="D44" s="2" t="s">
        <v>17</v>
      </c>
      <c r="E44" s="2" t="s">
        <v>17</v>
      </c>
      <c r="F44" s="2" t="s">
        <v>17</v>
      </c>
      <c r="G44" s="2" t="s">
        <v>17</v>
      </c>
      <c r="H44" s="2" t="s">
        <v>17</v>
      </c>
      <c r="I44" s="2" t="s">
        <v>17</v>
      </c>
      <c r="J44" s="4">
        <v>2936</v>
      </c>
      <c r="K44" s="4">
        <v>98</v>
      </c>
      <c r="L44" s="4">
        <v>23.7</v>
      </c>
      <c r="M44" s="4">
        <v>2.7</v>
      </c>
    </row>
    <row r="45" spans="1:15" x14ac:dyDescent="0.25">
      <c r="A45" s="2" t="s">
        <v>80</v>
      </c>
      <c r="B45" s="2" t="s">
        <v>13</v>
      </c>
      <c r="C45" s="2">
        <v>2022</v>
      </c>
      <c r="D45" s="2" t="s">
        <v>14</v>
      </c>
      <c r="E45" s="2" t="s">
        <v>14</v>
      </c>
      <c r="F45" s="2" t="s">
        <v>17</v>
      </c>
      <c r="G45" s="2" t="s">
        <v>17</v>
      </c>
      <c r="H45" s="2" t="s">
        <v>15</v>
      </c>
      <c r="I45" s="2" t="s">
        <v>103</v>
      </c>
      <c r="J45" s="5">
        <f>O45*0.892179</f>
        <v>3355.4852190000001</v>
      </c>
      <c r="K45" s="5">
        <v>102.6</v>
      </c>
      <c r="L45" s="5">
        <v>22.1</v>
      </c>
      <c r="M45" s="5">
        <v>2.8</v>
      </c>
      <c r="N45" s="7">
        <v>2020</v>
      </c>
      <c r="O45">
        <v>3761</v>
      </c>
    </row>
    <row r="46" spans="1:15" x14ac:dyDescent="0.25">
      <c r="A46" s="2" t="s">
        <v>81</v>
      </c>
      <c r="B46" s="2" t="s">
        <v>54</v>
      </c>
      <c r="C46" s="2">
        <v>2022</v>
      </c>
      <c r="D46" s="2" t="s">
        <v>14</v>
      </c>
      <c r="E46" s="2" t="s">
        <v>14</v>
      </c>
      <c r="F46" s="2" t="s">
        <v>17</v>
      </c>
      <c r="G46" s="2" t="s">
        <v>17</v>
      </c>
      <c r="H46" s="2" t="s">
        <v>14</v>
      </c>
      <c r="I46" s="2" t="s">
        <v>103</v>
      </c>
      <c r="J46" s="5">
        <f>O46*0.892179</f>
        <v>2349.1073070000002</v>
      </c>
      <c r="K46" s="8">
        <v>85.1</v>
      </c>
      <c r="L46" s="8">
        <v>51.7</v>
      </c>
      <c r="M46" s="8">
        <v>1.8</v>
      </c>
      <c r="N46">
        <v>2020</v>
      </c>
      <c r="O46" s="8">
        <v>2633</v>
      </c>
    </row>
    <row r="47" spans="1:15" x14ac:dyDescent="0.25">
      <c r="A47" s="2" t="s">
        <v>82</v>
      </c>
      <c r="B47" s="2" t="s">
        <v>86</v>
      </c>
      <c r="C47" s="2">
        <v>2022</v>
      </c>
      <c r="D47" s="2" t="s">
        <v>17</v>
      </c>
      <c r="E47" s="2" t="s">
        <v>17</v>
      </c>
      <c r="F47" s="2" t="s">
        <v>17</v>
      </c>
      <c r="G47" s="2" t="s">
        <v>17</v>
      </c>
      <c r="H47" s="2" t="s">
        <v>14</v>
      </c>
      <c r="I47" s="2" t="s">
        <v>15</v>
      </c>
      <c r="J47" s="5">
        <f>O47*0.892179</f>
        <v>2618.9914545000001</v>
      </c>
      <c r="K47" s="5">
        <v>95</v>
      </c>
      <c r="L47" s="5">
        <v>60.6</v>
      </c>
      <c r="M47" s="5">
        <v>3.4</v>
      </c>
      <c r="N47" t="s">
        <v>106</v>
      </c>
      <c r="O47">
        <v>2935.5</v>
      </c>
    </row>
    <row r="48" spans="1:15" ht="25.5" x14ac:dyDescent="0.25">
      <c r="A48" s="2" t="s">
        <v>83</v>
      </c>
      <c r="B48" s="2" t="s">
        <v>75</v>
      </c>
      <c r="C48" s="2">
        <v>2022</v>
      </c>
      <c r="D48" s="2" t="s">
        <v>17</v>
      </c>
      <c r="E48" s="2" t="s">
        <v>17</v>
      </c>
      <c r="F48" s="2" t="s">
        <v>17</v>
      </c>
      <c r="G48" s="2" t="s">
        <v>17</v>
      </c>
      <c r="H48" s="2" t="s">
        <v>15</v>
      </c>
      <c r="I48" s="2" t="s">
        <v>17</v>
      </c>
      <c r="J48" s="5">
        <f>O48*0.892179</f>
        <v>2383.6301734050003</v>
      </c>
      <c r="K48" s="5">
        <v>87.545000000000002</v>
      </c>
      <c r="L48" s="5">
        <v>39.378048780487809</v>
      </c>
      <c r="M48" s="5">
        <v>2.5966666666666662</v>
      </c>
      <c r="N48" t="s">
        <v>107</v>
      </c>
      <c r="O48">
        <v>2671.6950000000002</v>
      </c>
    </row>
    <row r="49" spans="1:15" ht="25.5" x14ac:dyDescent="0.25">
      <c r="A49" s="2" t="s">
        <v>84</v>
      </c>
      <c r="B49" s="2" t="s">
        <v>75</v>
      </c>
      <c r="C49" s="2">
        <v>2022</v>
      </c>
      <c r="D49" s="2" t="s">
        <v>17</v>
      </c>
      <c r="E49" s="2" t="s">
        <v>17</v>
      </c>
      <c r="F49" s="2" t="s">
        <v>17</v>
      </c>
      <c r="G49" s="2" t="s">
        <v>17</v>
      </c>
      <c r="H49" s="2" t="s">
        <v>15</v>
      </c>
      <c r="I49" s="2" t="s">
        <v>17</v>
      </c>
      <c r="J49" s="5">
        <f>O49*0.892179</f>
        <v>2495.3384190299998</v>
      </c>
      <c r="K49" s="5">
        <v>88.066666666666663</v>
      </c>
      <c r="L49" s="5">
        <v>40.16682926829268</v>
      </c>
      <c r="M49" s="5">
        <v>2.1150000000000002</v>
      </c>
      <c r="N49" t="s">
        <v>107</v>
      </c>
      <c r="O49">
        <v>2796.9033333333332</v>
      </c>
    </row>
    <row r="50" spans="1:15" ht="25.5" x14ac:dyDescent="0.25">
      <c r="A50" s="2" t="s">
        <v>85</v>
      </c>
      <c r="B50" s="2" t="s">
        <v>75</v>
      </c>
      <c r="C50" s="2">
        <v>2022</v>
      </c>
      <c r="D50" s="2" t="s">
        <v>17</v>
      </c>
      <c r="E50" s="2" t="s">
        <v>17</v>
      </c>
      <c r="F50" s="2" t="s">
        <v>17</v>
      </c>
      <c r="G50" s="2" t="s">
        <v>17</v>
      </c>
      <c r="H50" s="2" t="s">
        <v>15</v>
      </c>
      <c r="I50" s="2" t="s">
        <v>15</v>
      </c>
      <c r="J50" s="5">
        <f>O50*0.892179</f>
        <v>2744.7500324100006</v>
      </c>
      <c r="K50" s="5">
        <v>97.083333333333329</v>
      </c>
      <c r="L50" s="5">
        <v>37.048231707317079</v>
      </c>
      <c r="M50" s="5">
        <v>3.1116666666666668</v>
      </c>
      <c r="N50" t="s">
        <v>107</v>
      </c>
      <c r="O50">
        <v>3076.4566666666669</v>
      </c>
    </row>
    <row r="51" spans="1:15" x14ac:dyDescent="0.25">
      <c r="A51" s="2" t="s">
        <v>43</v>
      </c>
      <c r="B51" s="2" t="s">
        <v>39</v>
      </c>
      <c r="C51" s="2">
        <v>2023</v>
      </c>
      <c r="D51" s="2" t="s">
        <v>14</v>
      </c>
      <c r="E51" s="2" t="s">
        <v>14</v>
      </c>
      <c r="F51" s="2" t="s">
        <v>17</v>
      </c>
      <c r="G51" s="2" t="s">
        <v>17</v>
      </c>
      <c r="H51" s="2" t="s">
        <v>15</v>
      </c>
      <c r="I51" s="2" t="s">
        <v>15</v>
      </c>
      <c r="J51" s="4">
        <v>3710</v>
      </c>
      <c r="K51" s="4">
        <v>98</v>
      </c>
      <c r="L51" s="4">
        <v>23.5</v>
      </c>
      <c r="M51" s="4">
        <v>1.9</v>
      </c>
    </row>
    <row r="52" spans="1:15" x14ac:dyDescent="0.25">
      <c r="A52" s="2" t="s">
        <v>37</v>
      </c>
      <c r="B52" s="2" t="s">
        <v>13</v>
      </c>
      <c r="C52" s="2">
        <v>2023</v>
      </c>
      <c r="D52" s="2" t="s">
        <v>14</v>
      </c>
      <c r="E52" s="2" t="s">
        <v>14</v>
      </c>
      <c r="F52" s="2" t="s">
        <v>17</v>
      </c>
      <c r="G52" s="2" t="s">
        <v>17</v>
      </c>
      <c r="H52" s="2" t="s">
        <v>15</v>
      </c>
      <c r="I52" s="2" t="s">
        <v>15</v>
      </c>
      <c r="J52" s="4">
        <v>3533</v>
      </c>
      <c r="K52" s="4">
        <v>97</v>
      </c>
      <c r="L52" s="4">
        <v>22.2</v>
      </c>
      <c r="M52" s="4">
        <v>1.9</v>
      </c>
    </row>
    <row r="53" spans="1:15" x14ac:dyDescent="0.25">
      <c r="A53" s="2" t="s">
        <v>65</v>
      </c>
      <c r="B53" s="2" t="s">
        <v>54</v>
      </c>
      <c r="C53" s="2">
        <v>2023</v>
      </c>
      <c r="D53" s="2" t="s">
        <v>14</v>
      </c>
      <c r="E53" s="2" t="s">
        <v>14</v>
      </c>
      <c r="F53" s="2" t="s">
        <v>17</v>
      </c>
      <c r="G53" s="2" t="s">
        <v>17</v>
      </c>
      <c r="H53" s="2" t="s">
        <v>14</v>
      </c>
      <c r="I53" s="2" t="s">
        <v>17</v>
      </c>
      <c r="J53" s="4">
        <v>2754</v>
      </c>
      <c r="K53" s="4">
        <v>86</v>
      </c>
      <c r="L53" s="4">
        <v>66</v>
      </c>
      <c r="M53" s="4">
        <v>2</v>
      </c>
    </row>
    <row r="54" spans="1:15" x14ac:dyDescent="0.25">
      <c r="A54" s="2" t="s">
        <v>36</v>
      </c>
      <c r="B54" s="2" t="s">
        <v>13</v>
      </c>
      <c r="C54" s="2">
        <v>2023</v>
      </c>
      <c r="D54" s="2" t="s">
        <v>14</v>
      </c>
      <c r="E54" s="2" t="s">
        <v>14</v>
      </c>
      <c r="F54" s="2" t="s">
        <v>17</v>
      </c>
      <c r="G54" s="2" t="s">
        <v>17</v>
      </c>
      <c r="H54" s="2" t="s">
        <v>14</v>
      </c>
      <c r="I54" s="2" t="s">
        <v>15</v>
      </c>
      <c r="J54" s="4">
        <v>3469</v>
      </c>
      <c r="K54" s="4">
        <v>97</v>
      </c>
      <c r="L54" s="4">
        <v>18.899999999999999</v>
      </c>
      <c r="M54" s="4">
        <v>2</v>
      </c>
    </row>
    <row r="55" spans="1:15" x14ac:dyDescent="0.25">
      <c r="A55" s="2" t="s">
        <v>35</v>
      </c>
      <c r="B55" s="2" t="s">
        <v>13</v>
      </c>
      <c r="C55" s="2">
        <v>2023</v>
      </c>
      <c r="D55" s="2" t="s">
        <v>14</v>
      </c>
      <c r="E55" s="2" t="s">
        <v>14</v>
      </c>
      <c r="F55" s="2" t="s">
        <v>17</v>
      </c>
      <c r="G55" s="2" t="s">
        <v>17</v>
      </c>
      <c r="H55" s="2" t="s">
        <v>14</v>
      </c>
      <c r="I55" s="2" t="s">
        <v>14</v>
      </c>
      <c r="J55" s="4">
        <v>3430</v>
      </c>
      <c r="K55" s="4">
        <v>97</v>
      </c>
      <c r="L55" s="4">
        <v>20.9</v>
      </c>
      <c r="M55" s="4">
        <v>2.5</v>
      </c>
    </row>
    <row r="56" spans="1:15" x14ac:dyDescent="0.25">
      <c r="A56" s="2" t="s">
        <v>64</v>
      </c>
      <c r="B56" s="2" t="s">
        <v>54</v>
      </c>
      <c r="C56" s="2">
        <v>2023</v>
      </c>
      <c r="D56" s="2" t="s">
        <v>14</v>
      </c>
      <c r="E56" s="2" t="s">
        <v>14</v>
      </c>
      <c r="F56" s="2" t="s">
        <v>17</v>
      </c>
      <c r="G56" s="2" t="s">
        <v>17</v>
      </c>
      <c r="H56" s="2" t="s">
        <v>14</v>
      </c>
      <c r="I56" s="2" t="s">
        <v>17</v>
      </c>
      <c r="J56" s="4">
        <v>2757</v>
      </c>
      <c r="K56" s="4">
        <v>85</v>
      </c>
      <c r="L56" s="4">
        <v>61</v>
      </c>
      <c r="M56" s="4">
        <v>2.2999999999999998</v>
      </c>
    </row>
    <row r="57" spans="1:15" x14ac:dyDescent="0.25">
      <c r="A57" s="2" t="s">
        <v>34</v>
      </c>
      <c r="B57" s="2" t="s">
        <v>13</v>
      </c>
      <c r="C57" s="2">
        <v>2023</v>
      </c>
      <c r="D57" s="2" t="s">
        <v>14</v>
      </c>
      <c r="E57" s="2" t="s">
        <v>14</v>
      </c>
      <c r="F57" s="2" t="s">
        <v>17</v>
      </c>
      <c r="G57" s="2" t="s">
        <v>17</v>
      </c>
      <c r="H57" s="2" t="s">
        <v>14</v>
      </c>
      <c r="I57" s="2" t="s">
        <v>15</v>
      </c>
      <c r="J57" s="4">
        <v>3446</v>
      </c>
      <c r="K57" s="4">
        <v>95</v>
      </c>
      <c r="L57" s="4">
        <v>21.7</v>
      </c>
      <c r="M57" s="4">
        <v>2</v>
      </c>
    </row>
    <row r="58" spans="1:15" x14ac:dyDescent="0.25">
      <c r="A58" s="2" t="s">
        <v>42</v>
      </c>
      <c r="B58" s="2" t="s">
        <v>39</v>
      </c>
      <c r="C58" s="2">
        <v>2023</v>
      </c>
      <c r="D58" s="2" t="s">
        <v>14</v>
      </c>
      <c r="E58" s="2" t="s">
        <v>14</v>
      </c>
      <c r="F58" s="2" t="s">
        <v>17</v>
      </c>
      <c r="G58" s="2" t="s">
        <v>17</v>
      </c>
      <c r="H58" s="2" t="s">
        <v>15</v>
      </c>
      <c r="I58" s="2" t="s">
        <v>15</v>
      </c>
      <c r="J58" s="4">
        <v>3785</v>
      </c>
      <c r="K58" s="4">
        <v>98</v>
      </c>
      <c r="L58" s="4">
        <v>23.5</v>
      </c>
      <c r="M58" s="4">
        <v>1.6</v>
      </c>
    </row>
    <row r="59" spans="1:15" x14ac:dyDescent="0.25">
      <c r="A59" s="2" t="s">
        <v>73</v>
      </c>
      <c r="B59" s="2" t="s">
        <v>45</v>
      </c>
      <c r="C59" s="2">
        <v>2023</v>
      </c>
      <c r="D59" s="2" t="s">
        <v>14</v>
      </c>
      <c r="E59" s="2" t="s">
        <v>15</v>
      </c>
      <c r="F59" s="2" t="s">
        <v>17</v>
      </c>
      <c r="G59" s="2" t="s">
        <v>17</v>
      </c>
      <c r="H59" s="2" t="s">
        <v>14</v>
      </c>
      <c r="I59" s="2" t="s">
        <v>15</v>
      </c>
      <c r="J59" s="5">
        <f>O59*0.892179</f>
        <v>1840.2976232999999</v>
      </c>
      <c r="K59" s="5">
        <v>89.4</v>
      </c>
      <c r="L59" s="5">
        <v>72.900000000000006</v>
      </c>
      <c r="M59" s="5">
        <v>2.9</v>
      </c>
      <c r="N59">
        <v>2022</v>
      </c>
      <c r="O59">
        <v>2062.6999999999998</v>
      </c>
    </row>
    <row r="60" spans="1:15" ht="25.5" x14ac:dyDescent="0.25">
      <c r="A60" s="2" t="s">
        <v>74</v>
      </c>
      <c r="B60" s="2" t="s">
        <v>75</v>
      </c>
      <c r="C60" s="2">
        <v>2023</v>
      </c>
      <c r="D60" s="2" t="s">
        <v>17</v>
      </c>
      <c r="E60" s="2" t="s">
        <v>17</v>
      </c>
      <c r="F60" s="2" t="s">
        <v>17</v>
      </c>
      <c r="G60" s="2" t="s">
        <v>17</v>
      </c>
      <c r="H60" s="2" t="s">
        <v>15</v>
      </c>
      <c r="I60" s="2" t="s">
        <v>15</v>
      </c>
      <c r="J60" s="5">
        <f>O60*0.892179</f>
        <v>1984.0276602000004</v>
      </c>
      <c r="K60" s="5">
        <v>89.9</v>
      </c>
      <c r="L60" s="5">
        <v>36.4</v>
      </c>
      <c r="M60" s="5">
        <v>3.3</v>
      </c>
      <c r="N60" s="6" t="s">
        <v>104</v>
      </c>
      <c r="O60">
        <v>2223.8000000000002</v>
      </c>
    </row>
    <row r="61" spans="1:15" x14ac:dyDescent="0.25">
      <c r="A61" s="2" t="s">
        <v>76</v>
      </c>
      <c r="B61" s="2" t="s">
        <v>45</v>
      </c>
      <c r="C61" s="2">
        <v>2023</v>
      </c>
      <c r="D61" s="2" t="s">
        <v>14</v>
      </c>
      <c r="E61" s="2" t="s">
        <v>14</v>
      </c>
      <c r="F61" s="2" t="s">
        <v>17</v>
      </c>
      <c r="G61" s="2" t="s">
        <v>17</v>
      </c>
      <c r="H61" s="2" t="s">
        <v>14</v>
      </c>
      <c r="I61" s="2" t="s">
        <v>15</v>
      </c>
      <c r="J61" s="5">
        <f>O61*0.892179</f>
        <v>1911.2258537999999</v>
      </c>
      <c r="K61" s="5">
        <v>92</v>
      </c>
      <c r="L61" s="5">
        <v>73.599999999999994</v>
      </c>
      <c r="M61" s="5">
        <v>2.9</v>
      </c>
      <c r="N61">
        <v>2022</v>
      </c>
      <c r="O61">
        <v>2142.1999999999998</v>
      </c>
    </row>
    <row r="62" spans="1:15" x14ac:dyDescent="0.25">
      <c r="A62" s="2" t="s">
        <v>77</v>
      </c>
      <c r="B62" s="2" t="s">
        <v>48</v>
      </c>
      <c r="C62" s="2">
        <v>2023</v>
      </c>
      <c r="D62" s="2" t="s">
        <v>14</v>
      </c>
      <c r="E62" s="2" t="s">
        <v>15</v>
      </c>
      <c r="F62" s="2" t="s">
        <v>17</v>
      </c>
      <c r="G62" s="2" t="s">
        <v>17</v>
      </c>
      <c r="H62" s="2" t="s">
        <v>14</v>
      </c>
      <c r="I62" s="2" t="s">
        <v>15</v>
      </c>
      <c r="J62" s="5">
        <f>O62*0.892179</f>
        <v>1900.7873595000001</v>
      </c>
      <c r="K62" s="5">
        <v>92</v>
      </c>
      <c r="L62" s="5">
        <v>68.400000000000006</v>
      </c>
      <c r="M62" s="5">
        <v>4.4000000000000004</v>
      </c>
      <c r="N62">
        <v>2022</v>
      </c>
      <c r="O62">
        <v>2130.5</v>
      </c>
    </row>
    <row r="63" spans="1:15" x14ac:dyDescent="0.25">
      <c r="A63" s="2" t="s">
        <v>78</v>
      </c>
      <c r="B63" s="2" t="s">
        <v>79</v>
      </c>
      <c r="C63" s="2">
        <v>2023</v>
      </c>
      <c r="D63" s="2" t="s">
        <v>14</v>
      </c>
      <c r="E63" s="2" t="s">
        <v>14</v>
      </c>
      <c r="F63" s="2" t="s">
        <v>17</v>
      </c>
      <c r="G63" s="2" t="s">
        <v>17</v>
      </c>
      <c r="H63" s="2" t="s">
        <v>15</v>
      </c>
      <c r="I63" s="2" t="s">
        <v>105</v>
      </c>
      <c r="J63" s="5">
        <f>O63*0.892179</f>
        <v>3742.9585587000006</v>
      </c>
      <c r="K63" s="5">
        <v>89.9</v>
      </c>
      <c r="L63" s="5">
        <v>42</v>
      </c>
      <c r="M63">
        <v>3.1</v>
      </c>
      <c r="N63">
        <v>2023</v>
      </c>
      <c r="O63">
        <v>4195.3</v>
      </c>
    </row>
    <row r="64" spans="1:15" x14ac:dyDescent="0.25">
      <c r="A64" s="2" t="s">
        <v>69</v>
      </c>
      <c r="B64" s="2" t="s">
        <v>13</v>
      </c>
      <c r="C64" s="2">
        <v>2024</v>
      </c>
      <c r="D64" s="2" t="s">
        <v>14</v>
      </c>
      <c r="E64" s="2" t="s">
        <v>14</v>
      </c>
      <c r="F64" s="2" t="s">
        <v>17</v>
      </c>
      <c r="G64" s="2" t="s">
        <v>17</v>
      </c>
      <c r="H64" s="2" t="s">
        <v>14</v>
      </c>
      <c r="I64" s="2" t="s">
        <v>103</v>
      </c>
      <c r="J64" s="5">
        <f>O64*0.892179</f>
        <v>3253.9552487999999</v>
      </c>
      <c r="K64" s="5">
        <v>91.1</v>
      </c>
      <c r="L64" s="5">
        <v>19.8</v>
      </c>
      <c r="M64" s="5">
        <v>2.1</v>
      </c>
      <c r="N64">
        <v>2023</v>
      </c>
      <c r="O64">
        <v>3647.2</v>
      </c>
    </row>
    <row r="65" spans="1:15" x14ac:dyDescent="0.25">
      <c r="A65" s="2" t="s">
        <v>70</v>
      </c>
      <c r="B65" s="2" t="s">
        <v>13</v>
      </c>
      <c r="C65" s="2">
        <v>2024</v>
      </c>
      <c r="D65" s="2" t="s">
        <v>14</v>
      </c>
      <c r="E65" s="2" t="s">
        <v>14</v>
      </c>
      <c r="F65" s="2" t="s">
        <v>17</v>
      </c>
      <c r="G65" s="2" t="s">
        <v>17</v>
      </c>
      <c r="H65" s="2" t="s">
        <v>14</v>
      </c>
      <c r="I65" s="2" t="s">
        <v>103</v>
      </c>
      <c r="J65" s="5">
        <f>O65*0.892179</f>
        <v>3005.7510510000002</v>
      </c>
      <c r="K65" s="5">
        <v>89.3</v>
      </c>
      <c r="L65" s="5">
        <v>19.5</v>
      </c>
      <c r="M65" s="5">
        <v>1.8</v>
      </c>
      <c r="N65">
        <v>2024</v>
      </c>
      <c r="O65">
        <v>3369</v>
      </c>
    </row>
    <row r="66" spans="1:15" x14ac:dyDescent="0.25">
      <c r="A66" s="2" t="s">
        <v>71</v>
      </c>
      <c r="B66" s="2" t="s">
        <v>39</v>
      </c>
      <c r="C66" s="2">
        <v>2024</v>
      </c>
      <c r="D66" s="2" t="s">
        <v>14</v>
      </c>
      <c r="E66" s="2" t="s">
        <v>14</v>
      </c>
      <c r="F66" s="2" t="s">
        <v>17</v>
      </c>
      <c r="G66" s="2" t="s">
        <v>17</v>
      </c>
      <c r="H66" s="2" t="s">
        <v>14</v>
      </c>
      <c r="I66" s="2" t="s">
        <v>103</v>
      </c>
      <c r="J66" s="5">
        <f>O66*0.892179</f>
        <v>3376.1837718000002</v>
      </c>
      <c r="K66" s="5">
        <v>92.3</v>
      </c>
      <c r="L66" s="5">
        <v>24.3</v>
      </c>
      <c r="M66" s="5">
        <v>1.5</v>
      </c>
      <c r="N66">
        <v>2024</v>
      </c>
      <c r="O66">
        <v>3784.2</v>
      </c>
    </row>
    <row r="67" spans="1:15" x14ac:dyDescent="0.25">
      <c r="A67" s="2" t="s">
        <v>72</v>
      </c>
      <c r="B67" s="2" t="s">
        <v>45</v>
      </c>
      <c r="C67" s="2">
        <v>2024</v>
      </c>
      <c r="D67" s="2" t="s">
        <v>14</v>
      </c>
      <c r="E67" s="2" t="s">
        <v>17</v>
      </c>
      <c r="F67" s="2" t="s">
        <v>17</v>
      </c>
      <c r="G67" s="2" t="s">
        <v>17</v>
      </c>
      <c r="H67" s="2" t="s">
        <v>14</v>
      </c>
      <c r="I67" s="2" t="s">
        <v>15</v>
      </c>
      <c r="J67" s="5">
        <f>O67*0.892179</f>
        <v>2974.6140039000002</v>
      </c>
      <c r="K67" s="5">
        <v>98.1</v>
      </c>
      <c r="L67" s="5">
        <v>69.8</v>
      </c>
      <c r="M67" s="5">
        <v>3.5</v>
      </c>
      <c r="N67">
        <v>2023</v>
      </c>
      <c r="O67">
        <v>3334.1</v>
      </c>
    </row>
    <row r="68" spans="1:15" x14ac:dyDescent="0.25">
      <c r="A68" s="2" t="s">
        <v>92</v>
      </c>
      <c r="B68" s="2" t="s">
        <v>99</v>
      </c>
      <c r="C68" s="2">
        <v>2025</v>
      </c>
      <c r="D68" s="2" t="s">
        <v>17</v>
      </c>
      <c r="E68" s="2" t="s">
        <v>17</v>
      </c>
      <c r="F68" s="2" t="s">
        <v>17</v>
      </c>
      <c r="G68" s="2" t="s">
        <v>17</v>
      </c>
      <c r="H68" t="s">
        <v>15</v>
      </c>
      <c r="I68" s="2" t="s">
        <v>17</v>
      </c>
      <c r="J68" s="5">
        <f>O68*0.892179</f>
        <v>1954.9247812199999</v>
      </c>
      <c r="K68" s="5">
        <v>95.25</v>
      </c>
      <c r="L68" s="5">
        <v>27.64</v>
      </c>
      <c r="M68" s="5">
        <v>3.83</v>
      </c>
      <c r="N68">
        <v>2023</v>
      </c>
      <c r="O68">
        <v>2191.1799999999998</v>
      </c>
    </row>
    <row r="69" spans="1:15" x14ac:dyDescent="0.25">
      <c r="A69" s="2" t="s">
        <v>93</v>
      </c>
      <c r="B69" s="2" t="s">
        <v>99</v>
      </c>
      <c r="C69" s="2">
        <v>2025</v>
      </c>
      <c r="D69" s="2" t="s">
        <v>17</v>
      </c>
      <c r="E69" s="2" t="s">
        <v>17</v>
      </c>
      <c r="F69" s="2" t="s">
        <v>17</v>
      </c>
      <c r="G69" s="2" t="s">
        <v>17</v>
      </c>
      <c r="H69" t="s">
        <v>15</v>
      </c>
      <c r="I69" s="2" t="s">
        <v>17</v>
      </c>
      <c r="J69" s="5">
        <f>O69*0.892179</f>
        <v>2616.5558058300003</v>
      </c>
      <c r="K69" s="5">
        <v>101.75</v>
      </c>
      <c r="L69" s="5">
        <v>28.98</v>
      </c>
      <c r="M69" s="5">
        <v>3.25</v>
      </c>
      <c r="N69">
        <v>2023</v>
      </c>
      <c r="O69">
        <v>2932.77</v>
      </c>
    </row>
    <row r="70" spans="1:15" x14ac:dyDescent="0.25">
      <c r="A70" s="2" t="s">
        <v>94</v>
      </c>
      <c r="B70" s="2" t="s">
        <v>99</v>
      </c>
      <c r="C70" s="2">
        <v>2025</v>
      </c>
      <c r="D70" s="2" t="s">
        <v>17</v>
      </c>
      <c r="E70" s="2" t="s">
        <v>17</v>
      </c>
      <c r="F70" s="2" t="s">
        <v>17</v>
      </c>
      <c r="G70" s="2" t="s">
        <v>17</v>
      </c>
      <c r="H70" t="s">
        <v>15</v>
      </c>
      <c r="I70" s="2" t="s">
        <v>17</v>
      </c>
      <c r="J70" s="5">
        <f>O70*0.892179</f>
        <v>2335.8406052700002</v>
      </c>
      <c r="K70" s="5">
        <v>101.5</v>
      </c>
      <c r="L70" s="5">
        <v>27.03</v>
      </c>
      <c r="M70" s="5">
        <v>2.63</v>
      </c>
      <c r="N70">
        <v>2023</v>
      </c>
      <c r="O70">
        <v>2618.13</v>
      </c>
    </row>
    <row r="71" spans="1:15" x14ac:dyDescent="0.25">
      <c r="A71" s="2" t="s">
        <v>95</v>
      </c>
      <c r="B71" s="2" t="s">
        <v>100</v>
      </c>
      <c r="C71" s="2">
        <v>2025</v>
      </c>
      <c r="D71" s="2" t="s">
        <v>17</v>
      </c>
      <c r="E71" s="2" t="s">
        <v>17</v>
      </c>
      <c r="F71" s="2" t="s">
        <v>17</v>
      </c>
      <c r="G71" s="2" t="s">
        <v>17</v>
      </c>
      <c r="H71" t="s">
        <v>14</v>
      </c>
      <c r="I71" s="2" t="s">
        <v>17</v>
      </c>
      <c r="J71" s="5">
        <f>O71*0.892179</f>
        <v>3276.4649249700001</v>
      </c>
      <c r="K71" s="5">
        <v>107.67</v>
      </c>
      <c r="L71" s="5">
        <v>61.46</v>
      </c>
      <c r="M71" s="5">
        <v>3.79</v>
      </c>
      <c r="N71">
        <v>2023</v>
      </c>
      <c r="O71">
        <v>3672.43</v>
      </c>
    </row>
    <row r="72" spans="1:15" x14ac:dyDescent="0.25">
      <c r="A72" s="2" t="s">
        <v>96</v>
      </c>
      <c r="B72" s="2" t="s">
        <v>100</v>
      </c>
      <c r="C72" s="2">
        <v>2025</v>
      </c>
      <c r="D72" s="2" t="s">
        <v>17</v>
      </c>
      <c r="E72" s="2" t="s">
        <v>17</v>
      </c>
      <c r="F72" s="2" t="s">
        <v>17</v>
      </c>
      <c r="G72" s="2" t="s">
        <v>17</v>
      </c>
      <c r="H72" t="s">
        <v>15</v>
      </c>
      <c r="I72" s="2" t="s">
        <v>17</v>
      </c>
      <c r="J72" s="5">
        <f>O72*0.892179</f>
        <v>2792.3418342000004</v>
      </c>
      <c r="K72" s="5">
        <v>102.42</v>
      </c>
      <c r="L72" s="5">
        <v>57.59</v>
      </c>
      <c r="M72" s="5">
        <v>3.13</v>
      </c>
      <c r="N72">
        <v>2023</v>
      </c>
      <c r="O72">
        <v>3129.8</v>
      </c>
    </row>
    <row r="73" spans="1:15" x14ac:dyDescent="0.25">
      <c r="A73" s="2" t="s">
        <v>97</v>
      </c>
      <c r="B73" s="2" t="s">
        <v>13</v>
      </c>
      <c r="C73" s="2">
        <v>2025</v>
      </c>
      <c r="D73" s="2" t="s">
        <v>14</v>
      </c>
      <c r="E73" s="2" t="s">
        <v>14</v>
      </c>
      <c r="F73" s="2" t="s">
        <v>17</v>
      </c>
      <c r="G73" s="2" t="s">
        <v>17</v>
      </c>
      <c r="H73" t="s">
        <v>15</v>
      </c>
      <c r="I73" s="2" t="s">
        <v>17</v>
      </c>
      <c r="J73" s="5">
        <f>O73*0.892179</f>
        <v>3088.8129159</v>
      </c>
      <c r="K73" s="5">
        <v>88.5</v>
      </c>
      <c r="L73" s="5">
        <v>22.3</v>
      </c>
      <c r="M73" s="5">
        <v>2.8</v>
      </c>
      <c r="N73">
        <v>2024</v>
      </c>
      <c r="O73">
        <v>3462.1</v>
      </c>
    </row>
    <row r="74" spans="1:15" x14ac:dyDescent="0.25">
      <c r="A74" s="2" t="s">
        <v>98</v>
      </c>
      <c r="B74" s="2" t="s">
        <v>48</v>
      </c>
      <c r="C74" s="2">
        <v>2025</v>
      </c>
      <c r="D74" s="2" t="s">
        <v>14</v>
      </c>
      <c r="E74" s="2" t="s">
        <v>14</v>
      </c>
      <c r="F74" s="2" t="s">
        <v>17</v>
      </c>
      <c r="G74" s="2" t="s">
        <v>17</v>
      </c>
      <c r="H74" s="2" t="s">
        <v>14</v>
      </c>
      <c r="I74" s="2" t="s">
        <v>17</v>
      </c>
      <c r="J74" s="5">
        <f>O74*0.892179</f>
        <v>2359.9918908</v>
      </c>
      <c r="K74" s="5">
        <v>89.6</v>
      </c>
      <c r="L74" s="5">
        <v>49.4</v>
      </c>
      <c r="M74" s="5">
        <v>4.0999999999999996</v>
      </c>
      <c r="N74">
        <v>2024</v>
      </c>
      <c r="O74">
        <v>2645.2</v>
      </c>
    </row>
  </sheetData>
  <sortState xmlns:xlrd2="http://schemas.microsoft.com/office/spreadsheetml/2017/richdata2" ref="A2:O74">
    <sortCondition ref="C2:C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 Yoosefzadeh Najafabadi</dc:creator>
  <cp:lastModifiedBy>Lyndsay Schram</cp:lastModifiedBy>
  <dcterms:created xsi:type="dcterms:W3CDTF">2015-06-05T18:17:20Z</dcterms:created>
  <dcterms:modified xsi:type="dcterms:W3CDTF">2025-07-14T18:02:40Z</dcterms:modified>
</cp:coreProperties>
</file>